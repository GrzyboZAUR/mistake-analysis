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bgrzybowski\PyCharmMiscProject\python\repozytoria\mistake-analysis\sample_data\"/>
    </mc:Choice>
  </mc:AlternateContent>
  <xr:revisionPtr revIDLastSave="0" documentId="13_ncr:1_{B034933D-7163-4840-9384-A9B08F1CEA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dsumowanie" sheetId="8" r:id="rId1"/>
    <sheet name="Etap 1" sheetId="1" r:id="rId2"/>
    <sheet name="Etap 2" sheetId="2" r:id="rId3"/>
    <sheet name="Etap 3" sheetId="3" r:id="rId4"/>
    <sheet name="Etap 4" sheetId="4" r:id="rId5"/>
    <sheet name="Etap 5" sheetId="5" r:id="rId6"/>
    <sheet name="Etap 6" sheetId="6" r:id="rId7"/>
  </sheets>
  <definedNames>
    <definedName name="_xlnm.Print_Area" localSheetId="1">'Etap 1'!$A$1:$C$30</definedName>
    <definedName name="_xlnm.Print_Area" localSheetId="2">'Etap 2'!$A$1:$C$25</definedName>
    <definedName name="_xlnm.Print_Area" localSheetId="3">'Etap 3'!$A$1:$C$25</definedName>
    <definedName name="_xlnm.Print_Area" localSheetId="4">'Etap 4'!$A$1:$C$32</definedName>
    <definedName name="_xlnm.Print_Area" localSheetId="5">'Etap 5'!$A$1:$C$15</definedName>
    <definedName name="_xlnm.Print_Area" localSheetId="6">'Etap 6'!$A$1:$C$18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6" l="1"/>
  <c r="B7" i="8" s="1"/>
  <c r="F15" i="5"/>
  <c r="B6" i="8" s="1"/>
  <c r="F15" i="4"/>
  <c r="B5" i="8" s="1"/>
  <c r="F15" i="3"/>
  <c r="B4" i="8" s="1"/>
  <c r="G14" i="2"/>
  <c r="B3" i="8" s="1"/>
  <c r="F18" i="1"/>
  <c r="B2" i="8" s="1"/>
  <c r="B8" i="8" l="1"/>
</calcChain>
</file>

<file path=xl/sharedStrings.xml><?xml version="1.0" encoding="utf-8"?>
<sst xmlns="http://schemas.openxmlformats.org/spreadsheetml/2006/main" count="364" uniqueCount="81">
  <si>
    <t>Imię i nazwisko</t>
  </si>
  <si>
    <t>opis</t>
  </si>
  <si>
    <t>Etap 1</t>
  </si>
  <si>
    <t>Etap 2</t>
  </si>
  <si>
    <t>Etap 3</t>
  </si>
  <si>
    <t>Etap 4</t>
  </si>
  <si>
    <t>Etap 5</t>
  </si>
  <si>
    <t>Etap 6</t>
  </si>
  <si>
    <t>Ilość osób wypisanych na błędach</t>
  </si>
  <si>
    <t xml:space="preserve">Łączna liczba </t>
  </si>
  <si>
    <t>błędy</t>
  </si>
  <si>
    <t>Błąd odbicia na zbiorze</t>
  </si>
  <si>
    <t>Błąd odbicia na aktywności bez rzędów</t>
  </si>
  <si>
    <t>Brak odbcia aktywności na koniec pracy</t>
  </si>
  <si>
    <t>Brak odbicia aktywności w trakcie dnia</t>
  </si>
  <si>
    <t>Błąd</t>
  </si>
  <si>
    <t>Brak/błąd odbicia aktywności</t>
  </si>
  <si>
    <t>Brak odbicia rzędów</t>
  </si>
  <si>
    <t>Brak odbicia taga</t>
  </si>
  <si>
    <t>Brak/błąd odbicia początku pracy</t>
  </si>
  <si>
    <t>Brak/błąd odbicia przerwy</t>
  </si>
  <si>
    <t>Brak/ błąd odbicia końca pracy</t>
  </si>
  <si>
    <t xml:space="preserve">Brak/błąd odbicia przerwy </t>
  </si>
  <si>
    <t>Błąd odbicia rząd-wózek</t>
  </si>
  <si>
    <t>Błąd odbicia początku pracy</t>
  </si>
  <si>
    <t>Błąd odbicia przerwy</t>
  </si>
  <si>
    <t>Brak odbicia aktywności</t>
  </si>
  <si>
    <t>przez cały dzień</t>
  </si>
  <si>
    <t>brak wózka na 2 klasie</t>
  </si>
  <si>
    <t>Błąd odbicia na zbiorze i Brak odbcia aktywności na koniec pracy</t>
  </si>
  <si>
    <t>Błąd odbicia aktywności</t>
  </si>
  <si>
    <t>Błąd odbicia rząd-wózek i brak wózka na 2 klasie</t>
  </si>
  <si>
    <t>Błąd odbicia końca pracy</t>
  </si>
  <si>
    <t>Błąd odbicia przerwy i Brak odbcia aktywności na koniec pracy</t>
  </si>
  <si>
    <t>ETAP 1 - 02.06.2026</t>
  </si>
  <si>
    <t>ETAP 2 -02.06.2026</t>
  </si>
  <si>
    <t>ETAP 3 - 02.06.2026</t>
  </si>
  <si>
    <t>ETAP 4 - 02.06.2026</t>
  </si>
  <si>
    <t>ETAP 5 - 02.06.2026</t>
  </si>
  <si>
    <t>ETAP 6 - 02.06.2026</t>
  </si>
  <si>
    <t>rzędy i wózki w kratkę</t>
  </si>
  <si>
    <t xml:space="preserve">likwidacja </t>
  </si>
  <si>
    <t>przerwa odbita na koniec</t>
  </si>
  <si>
    <t>przerwa odbita na koniec pracy</t>
  </si>
  <si>
    <t>brak odbicia przez cały dzień</t>
  </si>
  <si>
    <t>Brak odbicia początku pracy i brak aktywności i rzędów na ostatnie 2h pracy</t>
  </si>
  <si>
    <t>Brak odbicia początku pracy</t>
  </si>
  <si>
    <t>Błąd odbicia początku pracy i prezrwy i akwtywności</t>
  </si>
  <si>
    <t>Błąd odbicia przerwy, z rana odbite kilka czynności</t>
  </si>
  <si>
    <t>i brak wózka</t>
  </si>
  <si>
    <t>Błąd odbicia na tablecie</t>
  </si>
  <si>
    <t>początek wbity o 12 i brak aktywności</t>
  </si>
  <si>
    <t>Brak odbicia aktywności i błąd odbicia na zbiorze</t>
  </si>
  <si>
    <t>Brak odbicia przerwy</t>
  </si>
  <si>
    <t>na ostatnie 3h praacy bez aktywności i rzędów</t>
  </si>
  <si>
    <t xml:space="preserve">Rejestracja czasu pracy od 11 </t>
  </si>
  <si>
    <t>name and surname1</t>
  </si>
  <si>
    <t>name and surname2</t>
  </si>
  <si>
    <t>name and surname3</t>
  </si>
  <si>
    <t>name and surname4</t>
  </si>
  <si>
    <t>name and surname5</t>
  </si>
  <si>
    <t>name and surname6</t>
  </si>
  <si>
    <t>name and surname7</t>
  </si>
  <si>
    <t>name and surname8</t>
  </si>
  <si>
    <t>name and surname9</t>
  </si>
  <si>
    <t>name and surname10</t>
  </si>
  <si>
    <t>name and surname11</t>
  </si>
  <si>
    <t>name and surname12</t>
  </si>
  <si>
    <t>name and surname13</t>
  </si>
  <si>
    <t>name and surname14</t>
  </si>
  <si>
    <t>name and surname15</t>
  </si>
  <si>
    <t>name and surname16</t>
  </si>
  <si>
    <t>name and surname17</t>
  </si>
  <si>
    <t>name and surname18</t>
  </si>
  <si>
    <t>name and surname19</t>
  </si>
  <si>
    <t>name and surname20</t>
  </si>
  <si>
    <t>name and surname21</t>
  </si>
  <si>
    <t>name and surname22</t>
  </si>
  <si>
    <t>name and surname23</t>
  </si>
  <si>
    <t>name and surname24</t>
  </si>
  <si>
    <t>name and surname25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</si>
</sst>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1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osób wypisanych na błędach</a:t>
            </a:r>
          </a:p>
        </c:rich>
      </c:tx>
      <c:layout>
        <c:manualLayout>
          <c:xMode val="edge"/>
          <c:yMode val="edge"/>
          <c:x val="0.123048556430446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2-40E3-B8A8-6073259128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2B2-40E3-B8A8-6073259128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2-40E3-B8A8-6073259128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2B2-40E3-B8A8-6073259128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B2-40E3-B8A8-6073259128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2B2-40E3-B8A8-60732591286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2B2-40E3-B8A8-60732591286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2B2-40E3-B8A8-60732591286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2B2-40E3-B8A8-60732591286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2B2-40E3-B8A8-60732591286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2B2-40E3-B8A8-60732591286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2B2-40E3-B8A8-60732591286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Podsumowanie!$A$2:$A$7</c:f>
              <c:strCache>
                <c:ptCount val="6"/>
                <c:pt idx="0">
                  <c:v>Etap 1</c:v>
                </c:pt>
                <c:pt idx="1">
                  <c:v>Etap 2</c:v>
                </c:pt>
                <c:pt idx="2">
                  <c:v>Etap 3</c:v>
                </c:pt>
                <c:pt idx="3">
                  <c:v>Etap 4</c:v>
                </c:pt>
                <c:pt idx="4">
                  <c:v>Etap 5</c:v>
                </c:pt>
                <c:pt idx="5">
                  <c:v>Etap 6</c:v>
                </c:pt>
              </c:strCache>
            </c:strRef>
          </c:cat>
          <c:val>
            <c:numRef>
              <c:f>Podsumowanie!$B$2:$B$7</c:f>
              <c:numCache>
                <c:formatCode>General</c:formatCode>
                <c:ptCount val="6"/>
                <c:pt idx="0">
                  <c:v>24</c:v>
                </c:pt>
                <c:pt idx="1">
                  <c:v>13</c:v>
                </c:pt>
                <c:pt idx="2">
                  <c:v>18</c:v>
                </c:pt>
                <c:pt idx="3">
                  <c:v>25</c:v>
                </c:pt>
                <c:pt idx="4">
                  <c:v>18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2-40E3-B8A8-60732591286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</xdr:row>
      <xdr:rowOff>80010</xdr:rowOff>
    </xdr:from>
    <xdr:to>
      <xdr:col>6</xdr:col>
      <xdr:colOff>30480</xdr:colOff>
      <xdr:row>24</xdr:row>
      <xdr:rowOff>80010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013AEF0-6113-261C-38F2-46E95224B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EF28-7CF1-4444-B953-9873D182CB0B}">
  <sheetPr codeName="Arkusz7"/>
  <dimension ref="A1:B9"/>
  <sheetViews>
    <sheetView tabSelected="1" workbookViewId="0">
      <selection activeCell="F9" sqref="F9"/>
    </sheetView>
  </sheetViews>
  <sheetFormatPr defaultRowHeight="15" x14ac:dyDescent="0.25"/>
  <cols>
    <col min="1" max="1" width="12.85546875" customWidth="1"/>
    <col min="2" max="2" width="22" customWidth="1"/>
  </cols>
  <sheetData>
    <row r="1" spans="1:2" x14ac:dyDescent="0.25">
      <c r="A1" s="19" t="s">
        <v>8</v>
      </c>
      <c r="B1" s="19"/>
    </row>
    <row r="2" spans="1:2" x14ac:dyDescent="0.25">
      <c r="A2" s="7" t="s">
        <v>2</v>
      </c>
      <c r="B2" s="8">
        <f>'Etap 1'!F18</f>
        <v>24</v>
      </c>
    </row>
    <row r="3" spans="1:2" x14ac:dyDescent="0.25">
      <c r="A3" s="7" t="s">
        <v>3</v>
      </c>
      <c r="B3" s="8">
        <f>'Etap 2'!G14</f>
        <v>13</v>
      </c>
    </row>
    <row r="4" spans="1:2" x14ac:dyDescent="0.25">
      <c r="A4" s="7" t="s">
        <v>4</v>
      </c>
      <c r="B4" s="8">
        <f>'Etap 3'!F15</f>
        <v>18</v>
      </c>
    </row>
    <row r="5" spans="1:2" x14ac:dyDescent="0.25">
      <c r="A5" s="7" t="s">
        <v>5</v>
      </c>
      <c r="B5" s="8">
        <f>'Etap 4'!F15</f>
        <v>25</v>
      </c>
    </row>
    <row r="6" spans="1:2" x14ac:dyDescent="0.25">
      <c r="A6" s="7" t="s">
        <v>6</v>
      </c>
      <c r="B6" s="8">
        <f>'Etap 5'!F15</f>
        <v>18</v>
      </c>
    </row>
    <row r="7" spans="1:2" x14ac:dyDescent="0.25">
      <c r="A7" s="7" t="s">
        <v>7</v>
      </c>
      <c r="B7" s="8">
        <f>'Etap 6'!G15</f>
        <v>16</v>
      </c>
    </row>
    <row r="8" spans="1:2" x14ac:dyDescent="0.25">
      <c r="A8" s="7" t="s">
        <v>9</v>
      </c>
      <c r="B8" s="8">
        <f>SUM(B2:B7)</f>
        <v>114</v>
      </c>
    </row>
    <row r="9" spans="1:2" x14ac:dyDescent="0.25">
      <c r="A9" s="9"/>
      <c r="B9" s="10"/>
    </row>
  </sheetData>
  <mergeCells count="1">
    <mergeCell ref="A1:B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30"/>
  <sheetViews>
    <sheetView workbookViewId="0">
      <selection activeCell="A3" sqref="A3:A26"/>
    </sheetView>
  </sheetViews>
  <sheetFormatPr defaultRowHeight="15" x14ac:dyDescent="0.25"/>
  <cols>
    <col min="1" max="1" width="28.140625" bestFit="1" customWidth="1"/>
    <col min="2" max="2" width="56.5703125" customWidth="1"/>
    <col min="3" max="3" width="59.42578125" bestFit="1" customWidth="1"/>
    <col min="6" max="6" width="36.28515625" bestFit="1" customWidth="1"/>
  </cols>
  <sheetData>
    <row r="1" spans="1:6" ht="21.6" customHeight="1" x14ac:dyDescent="0.25">
      <c r="A1" s="20" t="s">
        <v>34</v>
      </c>
      <c r="B1" s="20"/>
      <c r="C1" s="20"/>
      <c r="F1" t="s">
        <v>10</v>
      </c>
    </row>
    <row r="2" spans="1:6" x14ac:dyDescent="0.25">
      <c r="A2" s="2" t="s">
        <v>0</v>
      </c>
      <c r="B2" s="2" t="s">
        <v>15</v>
      </c>
      <c r="C2" s="3" t="s">
        <v>1</v>
      </c>
      <c r="F2" s="4" t="s">
        <v>16</v>
      </c>
    </row>
    <row r="3" spans="1:6" x14ac:dyDescent="0.25">
      <c r="A3" s="6" t="s">
        <v>56</v>
      </c>
      <c r="B3" s="4" t="s">
        <v>11</v>
      </c>
      <c r="C3" s="4" t="s">
        <v>40</v>
      </c>
      <c r="F3" s="4" t="s">
        <v>19</v>
      </c>
    </row>
    <row r="4" spans="1:6" x14ac:dyDescent="0.25">
      <c r="A4" s="4" t="s">
        <v>57</v>
      </c>
      <c r="B4" s="4" t="s">
        <v>20</v>
      </c>
      <c r="C4" s="4"/>
      <c r="F4" s="4" t="s">
        <v>21</v>
      </c>
    </row>
    <row r="5" spans="1:6" x14ac:dyDescent="0.25">
      <c r="A5" s="6" t="s">
        <v>58</v>
      </c>
      <c r="B5" s="4" t="s">
        <v>16</v>
      </c>
      <c r="C5" s="4"/>
      <c r="F5" s="4" t="s">
        <v>20</v>
      </c>
    </row>
    <row r="6" spans="1:6" x14ac:dyDescent="0.25">
      <c r="A6" s="4" t="s">
        <v>59</v>
      </c>
      <c r="B6" s="4" t="s">
        <v>20</v>
      </c>
      <c r="C6" s="4"/>
      <c r="F6" s="4" t="s">
        <v>11</v>
      </c>
    </row>
    <row r="7" spans="1:6" x14ac:dyDescent="0.25">
      <c r="A7" s="6" t="s">
        <v>60</v>
      </c>
      <c r="B7" s="4" t="s">
        <v>16</v>
      </c>
      <c r="C7" s="4"/>
      <c r="F7" s="4" t="s">
        <v>12</v>
      </c>
    </row>
    <row r="8" spans="1:6" x14ac:dyDescent="0.25">
      <c r="A8" s="4" t="s">
        <v>61</v>
      </c>
      <c r="B8" s="4" t="s">
        <v>13</v>
      </c>
      <c r="C8" s="4"/>
      <c r="F8" s="4" t="s">
        <v>13</v>
      </c>
    </row>
    <row r="9" spans="1:6" x14ac:dyDescent="0.25">
      <c r="A9" s="6" t="s">
        <v>62</v>
      </c>
      <c r="B9" s="4" t="s">
        <v>13</v>
      </c>
      <c r="C9" s="4"/>
      <c r="F9" s="4" t="s">
        <v>14</v>
      </c>
    </row>
    <row r="10" spans="1:6" x14ac:dyDescent="0.25">
      <c r="A10" s="4" t="s">
        <v>63</v>
      </c>
      <c r="B10" s="11" t="s">
        <v>13</v>
      </c>
      <c r="C10" s="11"/>
      <c r="F10" s="4" t="s">
        <v>17</v>
      </c>
    </row>
    <row r="11" spans="1:6" x14ac:dyDescent="0.25">
      <c r="A11" s="6" t="s">
        <v>64</v>
      </c>
      <c r="B11" s="5" t="s">
        <v>13</v>
      </c>
      <c r="C11" s="11"/>
      <c r="F11" s="4" t="s">
        <v>18</v>
      </c>
    </row>
    <row r="12" spans="1:6" x14ac:dyDescent="0.25">
      <c r="A12" s="4" t="s">
        <v>65</v>
      </c>
      <c r="B12" s="4" t="s">
        <v>25</v>
      </c>
      <c r="C12" s="4"/>
    </row>
    <row r="13" spans="1:6" x14ac:dyDescent="0.25">
      <c r="A13" s="6" t="s">
        <v>66</v>
      </c>
      <c r="B13" s="4" t="s">
        <v>45</v>
      </c>
      <c r="C13" s="4"/>
    </row>
    <row r="14" spans="1:6" x14ac:dyDescent="0.25">
      <c r="A14" s="4" t="s">
        <v>67</v>
      </c>
      <c r="B14" s="4" t="s">
        <v>13</v>
      </c>
      <c r="C14" s="4"/>
    </row>
    <row r="15" spans="1:6" x14ac:dyDescent="0.25">
      <c r="A15" s="6" t="s">
        <v>68</v>
      </c>
      <c r="B15" s="5" t="s">
        <v>11</v>
      </c>
      <c r="C15" s="11" t="s">
        <v>23</v>
      </c>
    </row>
    <row r="16" spans="1:6" x14ac:dyDescent="0.25">
      <c r="A16" s="4" t="s">
        <v>69</v>
      </c>
      <c r="B16" s="4" t="s">
        <v>32</v>
      </c>
      <c r="C16" s="4"/>
    </row>
    <row r="17" spans="1:6" x14ac:dyDescent="0.25">
      <c r="A17" s="6" t="s">
        <v>70</v>
      </c>
      <c r="B17" s="4" t="s">
        <v>32</v>
      </c>
      <c r="C17" s="4"/>
    </row>
    <row r="18" spans="1:6" x14ac:dyDescent="0.25">
      <c r="A18" s="4" t="s">
        <v>71</v>
      </c>
      <c r="B18" s="5" t="s">
        <v>11</v>
      </c>
      <c r="C18" s="11" t="s">
        <v>23</v>
      </c>
      <c r="F18">
        <f>COUNTA(A3:A50)</f>
        <v>24</v>
      </c>
    </row>
    <row r="19" spans="1:6" x14ac:dyDescent="0.25">
      <c r="A19" s="6" t="s">
        <v>72</v>
      </c>
      <c r="B19" s="5" t="s">
        <v>46</v>
      </c>
      <c r="C19" s="11"/>
    </row>
    <row r="20" spans="1:6" x14ac:dyDescent="0.25">
      <c r="A20" s="4" t="s">
        <v>73</v>
      </c>
      <c r="B20" s="5" t="s">
        <v>13</v>
      </c>
      <c r="C20" s="11"/>
    </row>
    <row r="21" spans="1:6" x14ac:dyDescent="0.25">
      <c r="A21" s="6" t="s">
        <v>74</v>
      </c>
      <c r="B21" s="5" t="s">
        <v>46</v>
      </c>
      <c r="C21" s="11"/>
    </row>
    <row r="22" spans="1:6" x14ac:dyDescent="0.25">
      <c r="A22" s="4" t="s">
        <v>75</v>
      </c>
      <c r="B22" s="5" t="s">
        <v>47</v>
      </c>
      <c r="C22" s="11"/>
    </row>
    <row r="23" spans="1:6" x14ac:dyDescent="0.25">
      <c r="A23" s="6" t="s">
        <v>76</v>
      </c>
      <c r="B23" s="5" t="s">
        <v>11</v>
      </c>
      <c r="C23" s="11" t="s">
        <v>28</v>
      </c>
    </row>
    <row r="24" spans="1:6" x14ac:dyDescent="0.25">
      <c r="A24" s="4" t="s">
        <v>77</v>
      </c>
      <c r="B24" s="5" t="s">
        <v>48</v>
      </c>
      <c r="C24" s="11"/>
    </row>
    <row r="25" spans="1:6" x14ac:dyDescent="0.25">
      <c r="A25" s="6" t="s">
        <v>78</v>
      </c>
      <c r="B25" s="5" t="s">
        <v>13</v>
      </c>
      <c r="C25" s="11"/>
    </row>
    <row r="26" spans="1:6" ht="30" x14ac:dyDescent="0.25">
      <c r="A26" s="4" t="s">
        <v>79</v>
      </c>
      <c r="B26" s="5" t="s">
        <v>33</v>
      </c>
      <c r="C26" s="11"/>
    </row>
    <row r="27" spans="1:6" x14ac:dyDescent="0.25">
      <c r="A27" s="11"/>
      <c r="B27" s="5"/>
      <c r="C27" s="11"/>
    </row>
    <row r="28" spans="1:6" x14ac:dyDescent="0.25">
      <c r="A28" s="11"/>
      <c r="B28" s="5"/>
      <c r="C28" s="11"/>
    </row>
    <row r="29" spans="1:6" x14ac:dyDescent="0.25">
      <c r="A29" s="11"/>
      <c r="B29" s="5"/>
      <c r="C29" s="11"/>
    </row>
    <row r="30" spans="1:6" x14ac:dyDescent="0.25">
      <c r="A30" s="11"/>
      <c r="B30" s="5"/>
      <c r="C30" s="11"/>
    </row>
  </sheetData>
  <sortState xmlns:xlrd2="http://schemas.microsoft.com/office/spreadsheetml/2017/richdata2" ref="A4:C30">
    <sortCondition ref="A3:A30"/>
  </sortState>
  <mergeCells count="1">
    <mergeCell ref="A1:C1"/>
  </mergeCells>
  <phoneticPr fontId="4" type="noConversion"/>
  <pageMargins left="0.25" right="0.25" top="0.75" bottom="0.75" header="0.3" footer="0.3"/>
  <pageSetup paperSize="9" scale="6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C92A-6B3C-46ED-9215-3491184F6975}">
  <sheetPr codeName="Arkusz2">
    <pageSetUpPr fitToPage="1"/>
  </sheetPr>
  <dimension ref="A1:G27"/>
  <sheetViews>
    <sheetView workbookViewId="0">
      <selection activeCell="A3" sqref="A3:A15"/>
    </sheetView>
  </sheetViews>
  <sheetFormatPr defaultRowHeight="15" x14ac:dyDescent="0.25"/>
  <cols>
    <col min="1" max="1" width="26.28515625" customWidth="1"/>
    <col min="2" max="2" width="45.5703125" customWidth="1"/>
    <col min="3" max="3" width="51.7109375" customWidth="1"/>
    <col min="7" max="7" width="36.28515625" bestFit="1" customWidth="1"/>
  </cols>
  <sheetData>
    <row r="1" spans="1:7" ht="21.6" customHeight="1" x14ac:dyDescent="0.25">
      <c r="A1" s="20" t="s">
        <v>35</v>
      </c>
      <c r="B1" s="20"/>
      <c r="C1" s="20"/>
      <c r="G1" t="s">
        <v>10</v>
      </c>
    </row>
    <row r="2" spans="1:7" x14ac:dyDescent="0.25">
      <c r="A2" s="2" t="s">
        <v>0</v>
      </c>
      <c r="B2" s="2" t="s">
        <v>15</v>
      </c>
      <c r="C2" s="3" t="s">
        <v>1</v>
      </c>
      <c r="G2" s="4" t="s">
        <v>16</v>
      </c>
    </row>
    <row r="3" spans="1:7" x14ac:dyDescent="0.25">
      <c r="A3" s="6" t="s">
        <v>56</v>
      </c>
      <c r="B3" s="4" t="s">
        <v>21</v>
      </c>
      <c r="C3" s="4" t="s">
        <v>42</v>
      </c>
      <c r="G3" s="4" t="s">
        <v>19</v>
      </c>
    </row>
    <row r="4" spans="1:7" x14ac:dyDescent="0.25">
      <c r="A4" s="4" t="s">
        <v>57</v>
      </c>
      <c r="B4" s="4" t="s">
        <v>20</v>
      </c>
      <c r="C4" s="4"/>
      <c r="G4" s="4" t="s">
        <v>21</v>
      </c>
    </row>
    <row r="5" spans="1:7" x14ac:dyDescent="0.25">
      <c r="A5" s="6" t="s">
        <v>58</v>
      </c>
      <c r="B5" s="4" t="s">
        <v>20</v>
      </c>
      <c r="C5" s="4"/>
      <c r="G5" s="4" t="s">
        <v>20</v>
      </c>
    </row>
    <row r="6" spans="1:7" x14ac:dyDescent="0.25">
      <c r="A6" s="4" t="s">
        <v>59</v>
      </c>
      <c r="B6" s="5" t="s">
        <v>26</v>
      </c>
      <c r="C6" s="5" t="s">
        <v>49</v>
      </c>
      <c r="G6" s="4" t="s">
        <v>11</v>
      </c>
    </row>
    <row r="7" spans="1:7" x14ac:dyDescent="0.25">
      <c r="A7" s="6" t="s">
        <v>60</v>
      </c>
      <c r="B7" s="4" t="s">
        <v>50</v>
      </c>
      <c r="C7" s="4" t="s">
        <v>51</v>
      </c>
      <c r="G7" s="4" t="s">
        <v>12</v>
      </c>
    </row>
    <row r="8" spans="1:7" x14ac:dyDescent="0.25">
      <c r="A8" s="4" t="s">
        <v>61</v>
      </c>
      <c r="B8" s="4" t="s">
        <v>11</v>
      </c>
      <c r="C8" s="4" t="s">
        <v>23</v>
      </c>
      <c r="G8" s="4" t="s">
        <v>13</v>
      </c>
    </row>
    <row r="9" spans="1:7" x14ac:dyDescent="0.25">
      <c r="A9" s="6" t="s">
        <v>62</v>
      </c>
      <c r="B9" s="4" t="s">
        <v>11</v>
      </c>
      <c r="C9" s="5" t="s">
        <v>23</v>
      </c>
      <c r="G9" s="4" t="s">
        <v>14</v>
      </c>
    </row>
    <row r="10" spans="1:7" x14ac:dyDescent="0.25">
      <c r="A10" s="4" t="s">
        <v>63</v>
      </c>
      <c r="B10" s="4" t="s">
        <v>11</v>
      </c>
      <c r="C10" s="4" t="s">
        <v>28</v>
      </c>
      <c r="G10" s="4" t="s">
        <v>17</v>
      </c>
    </row>
    <row r="11" spans="1:7" x14ac:dyDescent="0.25">
      <c r="A11" s="6" t="s">
        <v>64</v>
      </c>
      <c r="B11" s="4" t="s">
        <v>11</v>
      </c>
      <c r="C11" s="5" t="s">
        <v>23</v>
      </c>
      <c r="G11" s="4" t="s">
        <v>18</v>
      </c>
    </row>
    <row r="12" spans="1:7" x14ac:dyDescent="0.25">
      <c r="A12" s="4" t="s">
        <v>65</v>
      </c>
      <c r="B12" s="4" t="s">
        <v>11</v>
      </c>
      <c r="C12" s="5" t="s">
        <v>23</v>
      </c>
    </row>
    <row r="13" spans="1:7" x14ac:dyDescent="0.25">
      <c r="A13" s="6" t="s">
        <v>66</v>
      </c>
      <c r="B13" s="4" t="s">
        <v>24</v>
      </c>
      <c r="C13" s="4"/>
    </row>
    <row r="14" spans="1:7" ht="28.5" customHeight="1" x14ac:dyDescent="0.25">
      <c r="A14" s="4" t="s">
        <v>67</v>
      </c>
      <c r="B14" s="4" t="s">
        <v>24</v>
      </c>
      <c r="C14" s="4"/>
      <c r="G14">
        <f>COUNTA(A3:A50)</f>
        <v>13</v>
      </c>
    </row>
    <row r="15" spans="1:7" x14ac:dyDescent="0.25">
      <c r="A15" s="6" t="s">
        <v>68</v>
      </c>
      <c r="B15" s="4" t="s">
        <v>25</v>
      </c>
      <c r="C15" s="4"/>
    </row>
    <row r="16" spans="1:7" x14ac:dyDescent="0.25">
      <c r="A16" s="4"/>
      <c r="B16" s="4"/>
      <c r="C16" s="4"/>
    </row>
    <row r="17" spans="1:3" x14ac:dyDescent="0.25">
      <c r="A17" s="6"/>
      <c r="B17" s="4"/>
      <c r="C17" s="4"/>
    </row>
    <row r="18" spans="1:3" x14ac:dyDescent="0.25">
      <c r="A18" s="4"/>
      <c r="B18" s="4"/>
      <c r="C18" s="4"/>
    </row>
    <row r="19" spans="1:3" x14ac:dyDescent="0.25">
      <c r="A19" s="6"/>
      <c r="B19" s="4"/>
      <c r="C19" s="4"/>
    </row>
    <row r="20" spans="1:3" x14ac:dyDescent="0.25">
      <c r="A20" s="4"/>
      <c r="B20" s="4"/>
      <c r="C20" s="4"/>
    </row>
    <row r="21" spans="1:3" x14ac:dyDescent="0.25">
      <c r="A21" s="6"/>
      <c r="B21" s="4"/>
      <c r="C21" s="4"/>
    </row>
    <row r="22" spans="1:3" x14ac:dyDescent="0.25">
      <c r="A22" s="4"/>
      <c r="B22" s="4"/>
      <c r="C22" s="11"/>
    </row>
    <row r="23" spans="1:3" x14ac:dyDescent="0.25">
      <c r="A23" s="6"/>
      <c r="B23" s="5"/>
      <c r="C23" s="13"/>
    </row>
    <row r="24" spans="1:3" x14ac:dyDescent="0.25">
      <c r="A24" s="4"/>
      <c r="B24" s="4"/>
      <c r="C24" s="12"/>
    </row>
    <row r="25" spans="1:3" x14ac:dyDescent="0.25">
      <c r="A25" s="6"/>
      <c r="B25" s="4"/>
      <c r="C25" s="4"/>
    </row>
    <row r="26" spans="1:3" x14ac:dyDescent="0.25">
      <c r="A26" s="4"/>
      <c r="B26" s="5"/>
      <c r="C26" s="5"/>
    </row>
    <row r="27" spans="1:3" x14ac:dyDescent="0.25">
      <c r="A27" s="6"/>
      <c r="B27" s="6"/>
      <c r="C27" s="5"/>
    </row>
  </sheetData>
  <sortState xmlns:xlrd2="http://schemas.microsoft.com/office/spreadsheetml/2017/richdata2" ref="A4:C26">
    <sortCondition ref="A3:A26"/>
  </sortState>
  <mergeCells count="1">
    <mergeCell ref="A1:C1"/>
  </mergeCells>
  <pageMargins left="0.25" right="0.25" top="0.75" bottom="0.75" header="0.3" footer="0.3"/>
  <pageSetup paperSize="9" scale="8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69A9-8CC2-40DD-9E53-B11E1CCAB207}">
  <sheetPr codeName="Arkusz3">
    <pageSetUpPr fitToPage="1"/>
  </sheetPr>
  <dimension ref="A1:F29"/>
  <sheetViews>
    <sheetView workbookViewId="0">
      <selection activeCell="A3" sqref="A3:A20"/>
    </sheetView>
  </sheetViews>
  <sheetFormatPr defaultRowHeight="15" x14ac:dyDescent="0.25"/>
  <cols>
    <col min="1" max="1" width="30.85546875" bestFit="1" customWidth="1"/>
    <col min="2" max="2" width="36.28515625" bestFit="1" customWidth="1"/>
    <col min="3" max="3" width="34.140625" customWidth="1"/>
    <col min="6" max="6" width="36.28515625" bestFit="1" customWidth="1"/>
  </cols>
  <sheetData>
    <row r="1" spans="1:6" ht="22.15" customHeight="1" x14ac:dyDescent="0.25">
      <c r="A1" s="16" t="s">
        <v>36</v>
      </c>
      <c r="B1" s="17"/>
      <c r="C1" s="18"/>
    </row>
    <row r="2" spans="1:6" x14ac:dyDescent="0.25">
      <c r="A2" s="2" t="s">
        <v>0</v>
      </c>
      <c r="B2" s="2" t="s">
        <v>15</v>
      </c>
      <c r="C2" s="3" t="s">
        <v>1</v>
      </c>
      <c r="F2" t="s">
        <v>10</v>
      </c>
    </row>
    <row r="3" spans="1:6" x14ac:dyDescent="0.25">
      <c r="A3" s="6" t="s">
        <v>56</v>
      </c>
      <c r="B3" s="4" t="s">
        <v>16</v>
      </c>
      <c r="C3" s="4"/>
      <c r="F3" s="4" t="s">
        <v>16</v>
      </c>
    </row>
    <row r="4" spans="1:6" x14ac:dyDescent="0.25">
      <c r="A4" s="4" t="s">
        <v>57</v>
      </c>
      <c r="B4" s="4" t="s">
        <v>11</v>
      </c>
      <c r="C4" s="4"/>
      <c r="F4" s="4" t="s">
        <v>19</v>
      </c>
    </row>
    <row r="5" spans="1:6" x14ac:dyDescent="0.25">
      <c r="A5" s="6" t="s">
        <v>58</v>
      </c>
      <c r="B5" s="4" t="s">
        <v>11</v>
      </c>
      <c r="C5" s="4"/>
      <c r="F5" s="4" t="s">
        <v>21</v>
      </c>
    </row>
    <row r="6" spans="1:6" x14ac:dyDescent="0.25">
      <c r="A6" s="4" t="s">
        <v>59</v>
      </c>
      <c r="B6" s="4" t="s">
        <v>13</v>
      </c>
      <c r="C6" s="4"/>
      <c r="F6" s="4" t="s">
        <v>20</v>
      </c>
    </row>
    <row r="7" spans="1:6" x14ac:dyDescent="0.25">
      <c r="A7" s="6" t="s">
        <v>60</v>
      </c>
      <c r="B7" s="4" t="s">
        <v>20</v>
      </c>
      <c r="C7" s="4"/>
      <c r="F7" s="4" t="s">
        <v>11</v>
      </c>
    </row>
    <row r="8" spans="1:6" x14ac:dyDescent="0.25">
      <c r="A8" s="4" t="s">
        <v>61</v>
      </c>
      <c r="B8" s="4" t="s">
        <v>16</v>
      </c>
      <c r="C8" s="4"/>
      <c r="F8" s="4" t="s">
        <v>12</v>
      </c>
    </row>
    <row r="9" spans="1:6" x14ac:dyDescent="0.25">
      <c r="A9" s="6" t="s">
        <v>62</v>
      </c>
      <c r="B9" s="4" t="s">
        <v>13</v>
      </c>
      <c r="C9" s="4"/>
      <c r="F9" s="4" t="s">
        <v>13</v>
      </c>
    </row>
    <row r="10" spans="1:6" x14ac:dyDescent="0.25">
      <c r="A10" s="4" t="s">
        <v>63</v>
      </c>
      <c r="B10" s="4" t="s">
        <v>11</v>
      </c>
      <c r="C10" s="5"/>
      <c r="F10" s="4" t="s">
        <v>14</v>
      </c>
    </row>
    <row r="11" spans="1:6" x14ac:dyDescent="0.25">
      <c r="A11" s="6" t="s">
        <v>64</v>
      </c>
      <c r="B11" s="4" t="s">
        <v>29</v>
      </c>
      <c r="C11" s="4" t="s">
        <v>23</v>
      </c>
      <c r="F11" s="4" t="s">
        <v>17</v>
      </c>
    </row>
    <row r="12" spans="1:6" x14ac:dyDescent="0.25">
      <c r="A12" s="4" t="s">
        <v>65</v>
      </c>
      <c r="B12" s="6" t="s">
        <v>26</v>
      </c>
      <c r="C12" s="5"/>
      <c r="F12" s="4" t="s">
        <v>18</v>
      </c>
    </row>
    <row r="13" spans="1:6" x14ac:dyDescent="0.25">
      <c r="A13" s="6" t="s">
        <v>66</v>
      </c>
      <c r="B13" s="5" t="s">
        <v>30</v>
      </c>
      <c r="C13" s="4"/>
    </row>
    <row r="14" spans="1:6" x14ac:dyDescent="0.25">
      <c r="A14" s="4" t="s">
        <v>67</v>
      </c>
      <c r="B14" s="4" t="s">
        <v>13</v>
      </c>
      <c r="C14" s="4"/>
    </row>
    <row r="15" spans="1:6" x14ac:dyDescent="0.25">
      <c r="A15" s="6" t="s">
        <v>68</v>
      </c>
      <c r="B15" s="4" t="s">
        <v>12</v>
      </c>
      <c r="C15" s="5"/>
      <c r="F15">
        <f>COUNTA(A3:A50)</f>
        <v>18</v>
      </c>
    </row>
    <row r="16" spans="1:6" x14ac:dyDescent="0.25">
      <c r="A16" s="4" t="s">
        <v>69</v>
      </c>
      <c r="B16" s="4" t="s">
        <v>52</v>
      </c>
      <c r="C16" s="4" t="s">
        <v>28</v>
      </c>
    </row>
    <row r="17" spans="1:3" x14ac:dyDescent="0.25">
      <c r="A17" s="6" t="s">
        <v>70</v>
      </c>
      <c r="B17" s="4" t="s">
        <v>11</v>
      </c>
      <c r="C17" s="4" t="s">
        <v>23</v>
      </c>
    </row>
    <row r="18" spans="1:3" x14ac:dyDescent="0.25">
      <c r="A18" s="4" t="s">
        <v>71</v>
      </c>
      <c r="B18" s="4" t="s">
        <v>13</v>
      </c>
      <c r="C18" s="4"/>
    </row>
    <row r="19" spans="1:3" x14ac:dyDescent="0.25">
      <c r="A19" s="6" t="s">
        <v>72</v>
      </c>
      <c r="B19" s="4" t="s">
        <v>53</v>
      </c>
      <c r="C19" s="4"/>
    </row>
    <row r="20" spans="1:3" x14ac:dyDescent="0.25">
      <c r="A20" s="4" t="s">
        <v>73</v>
      </c>
      <c r="B20" s="4" t="s">
        <v>11</v>
      </c>
      <c r="C20" s="4" t="s">
        <v>23</v>
      </c>
    </row>
    <row r="21" spans="1:3" x14ac:dyDescent="0.25">
      <c r="A21" s="6"/>
      <c r="B21" s="4"/>
      <c r="C21" s="4"/>
    </row>
    <row r="22" spans="1:3" x14ac:dyDescent="0.25">
      <c r="A22" s="4"/>
      <c r="B22" s="4"/>
      <c r="C22" s="4"/>
    </row>
    <row r="23" spans="1:3" x14ac:dyDescent="0.25">
      <c r="A23" s="14"/>
      <c r="B23" s="4"/>
      <c r="C23" s="4"/>
    </row>
    <row r="24" spans="1:3" x14ac:dyDescent="0.25">
      <c r="A24" s="6"/>
      <c r="B24" s="4"/>
      <c r="C24" s="11"/>
    </row>
    <row r="25" spans="1:3" x14ac:dyDescent="0.25">
      <c r="A25" s="4"/>
      <c r="B25" s="4"/>
      <c r="C25" s="11"/>
    </row>
    <row r="26" spans="1:3" x14ac:dyDescent="0.25">
      <c r="A26" s="14"/>
      <c r="B26" s="4"/>
      <c r="C26" s="11"/>
    </row>
    <row r="27" spans="1:3" x14ac:dyDescent="0.25">
      <c r="A27" s="4"/>
      <c r="B27" s="4"/>
      <c r="C27" s="11"/>
    </row>
    <row r="28" spans="1:3" x14ac:dyDescent="0.25">
      <c r="A28" s="14"/>
      <c r="B28" s="4"/>
      <c r="C28" s="11"/>
    </row>
    <row r="29" spans="1:3" x14ac:dyDescent="0.25">
      <c r="A29" s="15"/>
      <c r="B29" s="4"/>
      <c r="C29" s="11"/>
    </row>
  </sheetData>
  <sortState xmlns:xlrd2="http://schemas.microsoft.com/office/spreadsheetml/2017/richdata2" ref="A4:C20">
    <sortCondition ref="A3:A20"/>
  </sortState>
  <mergeCells count="1">
    <mergeCell ref="A1:C1"/>
  </mergeCells>
  <phoneticPr fontId="4" type="noConversion"/>
  <pageMargins left="0.25" right="0.25" top="0.75" bottom="0.75" header="0.3" footer="0.3"/>
  <pageSetup paperSize="9" scale="9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6D12-E1F9-4F20-8C6E-1E81D7AA227E}">
  <sheetPr codeName="Arkusz4">
    <pageSetUpPr fitToPage="1"/>
  </sheetPr>
  <dimension ref="A1:F32"/>
  <sheetViews>
    <sheetView workbookViewId="0">
      <selection activeCell="A3" sqref="A3:A27"/>
    </sheetView>
  </sheetViews>
  <sheetFormatPr defaultRowHeight="15" x14ac:dyDescent="0.25"/>
  <cols>
    <col min="1" max="1" width="28.140625" customWidth="1"/>
    <col min="2" max="2" width="48.140625" bestFit="1" customWidth="1"/>
    <col min="3" max="3" width="59.42578125" style="1" bestFit="1" customWidth="1"/>
    <col min="6" max="6" width="36.28515625" bestFit="1" customWidth="1"/>
  </cols>
  <sheetData>
    <row r="1" spans="1:6" ht="23.45" customHeight="1" x14ac:dyDescent="0.25">
      <c r="A1" s="20" t="s">
        <v>37</v>
      </c>
      <c r="B1" s="20"/>
      <c r="C1" s="20"/>
    </row>
    <row r="2" spans="1:6" x14ac:dyDescent="0.25">
      <c r="A2" s="2" t="s">
        <v>0</v>
      </c>
      <c r="B2" s="2" t="s">
        <v>15</v>
      </c>
      <c r="C2" s="3" t="s">
        <v>1</v>
      </c>
      <c r="F2" t="s">
        <v>10</v>
      </c>
    </row>
    <row r="3" spans="1:6" x14ac:dyDescent="0.25">
      <c r="A3" s="6" t="s">
        <v>56</v>
      </c>
      <c r="B3" s="4" t="s">
        <v>12</v>
      </c>
      <c r="C3" s="4" t="s">
        <v>41</v>
      </c>
      <c r="F3" s="4" t="s">
        <v>16</v>
      </c>
    </row>
    <row r="4" spans="1:6" x14ac:dyDescent="0.25">
      <c r="A4" s="4" t="s">
        <v>57</v>
      </c>
      <c r="B4" s="4" t="s">
        <v>12</v>
      </c>
      <c r="C4" s="4" t="s">
        <v>41</v>
      </c>
      <c r="F4" s="4" t="s">
        <v>19</v>
      </c>
    </row>
    <row r="5" spans="1:6" x14ac:dyDescent="0.25">
      <c r="A5" s="6" t="s">
        <v>58</v>
      </c>
      <c r="B5" s="4" t="s">
        <v>12</v>
      </c>
      <c r="C5" s="4" t="s">
        <v>41</v>
      </c>
      <c r="F5" s="4" t="s">
        <v>21</v>
      </c>
    </row>
    <row r="6" spans="1:6" x14ac:dyDescent="0.25">
      <c r="A6" s="4" t="s">
        <v>59</v>
      </c>
      <c r="B6" s="4" t="s">
        <v>13</v>
      </c>
      <c r="C6" s="4"/>
      <c r="F6" s="4" t="s">
        <v>20</v>
      </c>
    </row>
    <row r="7" spans="1:6" x14ac:dyDescent="0.25">
      <c r="A7" s="6" t="s">
        <v>60</v>
      </c>
      <c r="B7" s="4" t="s">
        <v>12</v>
      </c>
      <c r="C7" s="4" t="s">
        <v>41</v>
      </c>
      <c r="F7" s="4" t="s">
        <v>11</v>
      </c>
    </row>
    <row r="8" spans="1:6" x14ac:dyDescent="0.25">
      <c r="A8" s="4" t="s">
        <v>61</v>
      </c>
      <c r="B8" s="4" t="s">
        <v>12</v>
      </c>
      <c r="C8" s="4"/>
      <c r="F8" s="4" t="s">
        <v>12</v>
      </c>
    </row>
    <row r="9" spans="1:6" x14ac:dyDescent="0.25">
      <c r="A9" s="6" t="s">
        <v>62</v>
      </c>
      <c r="B9" s="4" t="s">
        <v>12</v>
      </c>
      <c r="C9" s="4" t="s">
        <v>41</v>
      </c>
      <c r="F9" s="4" t="s">
        <v>13</v>
      </c>
    </row>
    <row r="10" spans="1:6" x14ac:dyDescent="0.25">
      <c r="A10" s="4" t="s">
        <v>63</v>
      </c>
      <c r="B10" s="4" t="s">
        <v>20</v>
      </c>
      <c r="C10" s="4"/>
      <c r="F10" s="4" t="s">
        <v>14</v>
      </c>
    </row>
    <row r="11" spans="1:6" x14ac:dyDescent="0.25">
      <c r="A11" s="6" t="s">
        <v>64</v>
      </c>
      <c r="B11" s="4" t="s">
        <v>11</v>
      </c>
      <c r="C11" s="4"/>
      <c r="F11" s="4" t="s">
        <v>17</v>
      </c>
    </row>
    <row r="12" spans="1:6" x14ac:dyDescent="0.25">
      <c r="A12" s="4" t="s">
        <v>65</v>
      </c>
      <c r="B12" s="4" t="s">
        <v>12</v>
      </c>
      <c r="C12" s="4" t="s">
        <v>41</v>
      </c>
      <c r="F12" s="4" t="s">
        <v>18</v>
      </c>
    </row>
    <row r="13" spans="1:6" x14ac:dyDescent="0.25">
      <c r="A13" s="6" t="s">
        <v>66</v>
      </c>
      <c r="B13" s="4" t="s">
        <v>11</v>
      </c>
      <c r="C13" s="4"/>
    </row>
    <row r="14" spans="1:6" x14ac:dyDescent="0.25">
      <c r="A14" s="4" t="s">
        <v>67</v>
      </c>
      <c r="B14" s="4" t="s">
        <v>12</v>
      </c>
      <c r="C14" s="4" t="s">
        <v>41</v>
      </c>
    </row>
    <row r="15" spans="1:6" x14ac:dyDescent="0.25">
      <c r="A15" s="6" t="s">
        <v>68</v>
      </c>
      <c r="B15" s="4" t="s">
        <v>12</v>
      </c>
      <c r="C15" s="4" t="s">
        <v>41</v>
      </c>
      <c r="F15">
        <f>COUNTA(A3:A50)</f>
        <v>25</v>
      </c>
    </row>
    <row r="16" spans="1:6" x14ac:dyDescent="0.25">
      <c r="A16" s="4" t="s">
        <v>69</v>
      </c>
      <c r="B16" s="4" t="s">
        <v>13</v>
      </c>
      <c r="C16" s="4"/>
    </row>
    <row r="17" spans="1:3" x14ac:dyDescent="0.25">
      <c r="A17" s="6" t="s">
        <v>70</v>
      </c>
      <c r="B17" s="4" t="s">
        <v>25</v>
      </c>
      <c r="C17" s="4"/>
    </row>
    <row r="18" spans="1:3" x14ac:dyDescent="0.25">
      <c r="A18" s="4" t="s">
        <v>71</v>
      </c>
      <c r="B18" s="4" t="s">
        <v>11</v>
      </c>
      <c r="C18" s="11" t="s">
        <v>23</v>
      </c>
    </row>
    <row r="19" spans="1:3" x14ac:dyDescent="0.25">
      <c r="A19" s="6" t="s">
        <v>72</v>
      </c>
      <c r="B19" s="4" t="s">
        <v>13</v>
      </c>
      <c r="C19" s="5"/>
    </row>
    <row r="20" spans="1:3" x14ac:dyDescent="0.25">
      <c r="A20" s="4" t="s">
        <v>73</v>
      </c>
      <c r="B20" s="4" t="s">
        <v>13</v>
      </c>
      <c r="C20" s="4"/>
    </row>
    <row r="21" spans="1:3" x14ac:dyDescent="0.25">
      <c r="A21" s="6" t="s">
        <v>74</v>
      </c>
      <c r="B21" s="4" t="s">
        <v>12</v>
      </c>
      <c r="C21" s="4"/>
    </row>
    <row r="22" spans="1:3" x14ac:dyDescent="0.25">
      <c r="A22" s="4" t="s">
        <v>75</v>
      </c>
      <c r="B22" s="4" t="s">
        <v>11</v>
      </c>
      <c r="C22" s="11" t="s">
        <v>23</v>
      </c>
    </row>
    <row r="23" spans="1:3" x14ac:dyDescent="0.25">
      <c r="A23" s="6" t="s">
        <v>76</v>
      </c>
      <c r="B23" s="4" t="s">
        <v>16</v>
      </c>
      <c r="C23" s="4"/>
    </row>
    <row r="24" spans="1:3" x14ac:dyDescent="0.25">
      <c r="A24" s="4" t="s">
        <v>77</v>
      </c>
      <c r="B24" s="4" t="s">
        <v>26</v>
      </c>
      <c r="C24" s="4" t="s">
        <v>27</v>
      </c>
    </row>
    <row r="25" spans="1:3" x14ac:dyDescent="0.25">
      <c r="A25" s="6" t="s">
        <v>78</v>
      </c>
      <c r="B25" s="4" t="s">
        <v>12</v>
      </c>
      <c r="C25" s="4"/>
    </row>
    <row r="26" spans="1:3" x14ac:dyDescent="0.25">
      <c r="A26" s="4" t="s">
        <v>79</v>
      </c>
      <c r="B26" t="s">
        <v>24</v>
      </c>
      <c r="C26"/>
    </row>
    <row r="27" spans="1:3" x14ac:dyDescent="0.25">
      <c r="A27" s="6" t="s">
        <v>80</v>
      </c>
      <c r="B27" s="4" t="s">
        <v>12</v>
      </c>
      <c r="C27" s="4"/>
    </row>
    <row r="28" spans="1:3" x14ac:dyDescent="0.25">
      <c r="A28" s="4"/>
      <c r="C28"/>
    </row>
    <row r="29" spans="1:3" x14ac:dyDescent="0.25">
      <c r="A29" s="4"/>
      <c r="B29" s="4"/>
      <c r="C29" s="4"/>
    </row>
    <row r="30" spans="1:3" x14ac:dyDescent="0.25">
      <c r="A30" s="11"/>
      <c r="B30" s="4"/>
      <c r="C30" s="11"/>
    </row>
    <row r="31" spans="1:3" x14ac:dyDescent="0.25">
      <c r="A31" s="4"/>
      <c r="B31" s="4"/>
      <c r="C31" s="4"/>
    </row>
    <row r="32" spans="1:3" x14ac:dyDescent="0.25">
      <c r="A32" s="6"/>
      <c r="B32" s="6"/>
      <c r="C32" s="6"/>
    </row>
  </sheetData>
  <sortState xmlns:xlrd2="http://schemas.microsoft.com/office/spreadsheetml/2017/richdata2" ref="A3:C28">
    <sortCondition ref="A3:A28"/>
  </sortState>
  <mergeCells count="1">
    <mergeCell ref="A1:C1"/>
  </mergeCells>
  <phoneticPr fontId="4" type="noConversion"/>
  <pageMargins left="0.25" right="0.25" top="0.75" bottom="0.75" header="0.3" footer="0.3"/>
  <pageSetup paperSize="9" scale="7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5A71-86C2-4BF9-B4E1-5AEEE7C6A187}">
  <sheetPr codeName="Arkusz5"/>
  <dimension ref="A1:F29"/>
  <sheetViews>
    <sheetView zoomScaleNormal="100" workbookViewId="0">
      <selection activeCell="A3" sqref="A3:A8"/>
    </sheetView>
  </sheetViews>
  <sheetFormatPr defaultRowHeight="15" x14ac:dyDescent="0.25"/>
  <cols>
    <col min="1" max="1" width="30" bestFit="1" customWidth="1"/>
    <col min="2" max="2" width="36.28515625" bestFit="1" customWidth="1"/>
    <col min="3" max="3" width="48" bestFit="1" customWidth="1"/>
    <col min="6" max="6" width="36.28515625" bestFit="1" customWidth="1"/>
  </cols>
  <sheetData>
    <row r="1" spans="1:6" ht="26.45" customHeight="1" x14ac:dyDescent="0.25">
      <c r="A1" s="16" t="s">
        <v>38</v>
      </c>
      <c r="B1" s="17"/>
      <c r="C1" s="18"/>
    </row>
    <row r="2" spans="1:6" x14ac:dyDescent="0.25">
      <c r="A2" s="2" t="s">
        <v>0</v>
      </c>
      <c r="B2" s="2" t="s">
        <v>15</v>
      </c>
      <c r="C2" s="3" t="s">
        <v>1</v>
      </c>
      <c r="F2" t="s">
        <v>10</v>
      </c>
    </row>
    <row r="3" spans="1:6" x14ac:dyDescent="0.25">
      <c r="A3" s="6" t="s">
        <v>56</v>
      </c>
      <c r="B3" s="4" t="s">
        <v>21</v>
      </c>
      <c r="C3" s="4" t="s">
        <v>43</v>
      </c>
      <c r="F3" s="4" t="s">
        <v>16</v>
      </c>
    </row>
    <row r="4" spans="1:6" x14ac:dyDescent="0.25">
      <c r="A4" s="4" t="s">
        <v>57</v>
      </c>
      <c r="B4" s="4" t="s">
        <v>16</v>
      </c>
      <c r="C4" s="4"/>
      <c r="F4" s="4" t="s">
        <v>19</v>
      </c>
    </row>
    <row r="5" spans="1:6" x14ac:dyDescent="0.25">
      <c r="A5" s="6" t="s">
        <v>58</v>
      </c>
      <c r="B5" s="4" t="s">
        <v>21</v>
      </c>
      <c r="C5" s="4"/>
      <c r="F5" s="4" t="s">
        <v>21</v>
      </c>
    </row>
    <row r="6" spans="1:6" x14ac:dyDescent="0.25">
      <c r="A6" s="4" t="s">
        <v>59</v>
      </c>
      <c r="B6" s="4" t="s">
        <v>11</v>
      </c>
      <c r="C6" s="4"/>
      <c r="F6" s="4" t="s">
        <v>22</v>
      </c>
    </row>
    <row r="7" spans="1:6" x14ac:dyDescent="0.25">
      <c r="A7" s="6" t="s">
        <v>60</v>
      </c>
      <c r="B7" s="4" t="s">
        <v>18</v>
      </c>
      <c r="C7" s="4" t="s">
        <v>44</v>
      </c>
      <c r="F7" s="4" t="s">
        <v>11</v>
      </c>
    </row>
    <row r="8" spans="1:6" x14ac:dyDescent="0.25">
      <c r="A8" s="4" t="s">
        <v>61</v>
      </c>
      <c r="B8" s="4" t="s">
        <v>13</v>
      </c>
      <c r="C8" s="4"/>
      <c r="F8" s="4" t="s">
        <v>12</v>
      </c>
    </row>
    <row r="9" spans="1:6" x14ac:dyDescent="0.25">
      <c r="A9" s="6" t="s">
        <v>62</v>
      </c>
      <c r="B9" s="5" t="s">
        <v>13</v>
      </c>
      <c r="C9" s="11"/>
      <c r="F9" s="4" t="s">
        <v>13</v>
      </c>
    </row>
    <row r="10" spans="1:6" x14ac:dyDescent="0.25">
      <c r="A10" s="4" t="s">
        <v>63</v>
      </c>
      <c r="B10" s="4" t="s">
        <v>11</v>
      </c>
      <c r="C10" s="4" t="s">
        <v>23</v>
      </c>
      <c r="F10" s="4" t="s">
        <v>14</v>
      </c>
    </row>
    <row r="11" spans="1:6" x14ac:dyDescent="0.25">
      <c r="A11" s="6" t="s">
        <v>64</v>
      </c>
      <c r="B11" s="4" t="s">
        <v>24</v>
      </c>
      <c r="C11" s="11"/>
      <c r="F11" s="4" t="s">
        <v>17</v>
      </c>
    </row>
    <row r="12" spans="1:6" x14ac:dyDescent="0.25">
      <c r="A12" s="4" t="s">
        <v>65</v>
      </c>
      <c r="B12" s="4" t="s">
        <v>26</v>
      </c>
      <c r="C12" s="11"/>
      <c r="F12" s="4" t="s">
        <v>18</v>
      </c>
    </row>
    <row r="13" spans="1:6" x14ac:dyDescent="0.25">
      <c r="A13" s="6" t="s">
        <v>66</v>
      </c>
      <c r="B13" s="4" t="s">
        <v>13</v>
      </c>
      <c r="C13" s="4"/>
    </row>
    <row r="14" spans="1:6" x14ac:dyDescent="0.25">
      <c r="A14" s="4" t="s">
        <v>67</v>
      </c>
      <c r="B14" s="4" t="s">
        <v>16</v>
      </c>
      <c r="C14" s="11" t="s">
        <v>54</v>
      </c>
    </row>
    <row r="15" spans="1:6" x14ac:dyDescent="0.25">
      <c r="A15" s="6" t="s">
        <v>68</v>
      </c>
      <c r="B15" s="4" t="s">
        <v>13</v>
      </c>
      <c r="C15" s="4"/>
      <c r="F15">
        <f>COUNTA(A3:A50)</f>
        <v>18</v>
      </c>
    </row>
    <row r="16" spans="1:6" x14ac:dyDescent="0.25">
      <c r="A16" s="4" t="s">
        <v>69</v>
      </c>
      <c r="B16" s="4" t="s">
        <v>11</v>
      </c>
      <c r="C16" s="4" t="s">
        <v>28</v>
      </c>
    </row>
    <row r="17" spans="1:3" x14ac:dyDescent="0.25">
      <c r="A17" s="6" t="s">
        <v>70</v>
      </c>
      <c r="B17" s="4" t="s">
        <v>55</v>
      </c>
      <c r="C17" s="4"/>
    </row>
    <row r="18" spans="1:3" x14ac:dyDescent="0.25">
      <c r="A18" s="4" t="s">
        <v>71</v>
      </c>
      <c r="B18" s="4" t="s">
        <v>11</v>
      </c>
      <c r="C18" s="11" t="s">
        <v>28</v>
      </c>
    </row>
    <row r="19" spans="1:3" x14ac:dyDescent="0.25">
      <c r="A19" s="6" t="s">
        <v>72</v>
      </c>
      <c r="B19" s="4" t="s">
        <v>13</v>
      </c>
      <c r="C19" s="11"/>
    </row>
    <row r="20" spans="1:3" x14ac:dyDescent="0.25">
      <c r="A20" s="4" t="s">
        <v>73</v>
      </c>
      <c r="B20" s="4" t="s">
        <v>11</v>
      </c>
      <c r="C20" s="11" t="s">
        <v>31</v>
      </c>
    </row>
    <row r="21" spans="1:3" x14ac:dyDescent="0.25">
      <c r="A21" s="6"/>
      <c r="B21" s="4"/>
      <c r="C21" s="11"/>
    </row>
    <row r="22" spans="1:3" x14ac:dyDescent="0.25">
      <c r="A22" s="4"/>
      <c r="B22" s="4"/>
      <c r="C22" s="11"/>
    </row>
    <row r="23" spans="1:3" x14ac:dyDescent="0.25">
      <c r="A23" s="6"/>
      <c r="B23" s="4"/>
      <c r="C23" s="4"/>
    </row>
    <row r="24" spans="1:3" x14ac:dyDescent="0.25">
      <c r="A24" s="4"/>
      <c r="B24" s="4"/>
      <c r="C24" s="4"/>
    </row>
    <row r="25" spans="1:3" x14ac:dyDescent="0.25">
      <c r="A25" s="6"/>
      <c r="B25" s="4"/>
      <c r="C25" s="4"/>
    </row>
    <row r="26" spans="1:3" x14ac:dyDescent="0.25">
      <c r="A26" s="4"/>
      <c r="B26" s="4"/>
      <c r="C26" s="4"/>
    </row>
    <row r="27" spans="1:3" x14ac:dyDescent="0.25">
      <c r="A27" s="6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</sheetData>
  <sortState xmlns:xlrd2="http://schemas.microsoft.com/office/spreadsheetml/2017/richdata2" ref="A4:C23">
    <sortCondition ref="A3:A23"/>
  </sortState>
  <mergeCells count="1">
    <mergeCell ref="A1:C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E7A2-2BDC-4242-8154-B2B1ECFC2010}">
  <sheetPr codeName="Arkusz6">
    <pageSetUpPr fitToPage="1"/>
  </sheetPr>
  <dimension ref="A1:G21"/>
  <sheetViews>
    <sheetView workbookViewId="0">
      <selection activeCell="A7" sqref="A7:A18"/>
    </sheetView>
  </sheetViews>
  <sheetFormatPr defaultRowHeight="15" x14ac:dyDescent="0.25"/>
  <cols>
    <col min="1" max="1" width="23.7109375" bestFit="1" customWidth="1"/>
    <col min="2" max="2" width="45.5703125" customWidth="1"/>
    <col min="3" max="3" width="57.7109375" bestFit="1" customWidth="1"/>
    <col min="7" max="7" width="36.28515625" bestFit="1" customWidth="1"/>
  </cols>
  <sheetData>
    <row r="1" spans="1:7" ht="22.9" customHeight="1" x14ac:dyDescent="0.25">
      <c r="A1" s="20" t="s">
        <v>39</v>
      </c>
      <c r="B1" s="20"/>
      <c r="C1" s="20"/>
    </row>
    <row r="2" spans="1:7" x14ac:dyDescent="0.25">
      <c r="A2" s="2" t="s">
        <v>0</v>
      </c>
      <c r="B2" s="2" t="s">
        <v>15</v>
      </c>
      <c r="C2" s="3" t="s">
        <v>1</v>
      </c>
      <c r="G2" t="s">
        <v>10</v>
      </c>
    </row>
    <row r="3" spans="1:7" x14ac:dyDescent="0.25">
      <c r="A3" s="6" t="s">
        <v>56</v>
      </c>
      <c r="B3" s="4" t="s">
        <v>12</v>
      </c>
      <c r="C3" s="4"/>
      <c r="G3" s="4" t="s">
        <v>16</v>
      </c>
    </row>
    <row r="4" spans="1:7" x14ac:dyDescent="0.25">
      <c r="A4" s="4" t="s">
        <v>57</v>
      </c>
      <c r="B4" s="4" t="s">
        <v>13</v>
      </c>
      <c r="C4" s="4"/>
      <c r="G4" s="4" t="s">
        <v>19</v>
      </c>
    </row>
    <row r="5" spans="1:7" x14ac:dyDescent="0.25">
      <c r="A5" s="6" t="s">
        <v>58</v>
      </c>
      <c r="B5" s="4" t="s">
        <v>13</v>
      </c>
      <c r="C5" s="4"/>
      <c r="G5" s="4" t="s">
        <v>21</v>
      </c>
    </row>
    <row r="6" spans="1:7" x14ac:dyDescent="0.25">
      <c r="A6" s="4" t="s">
        <v>59</v>
      </c>
      <c r="B6" s="4" t="s">
        <v>13</v>
      </c>
      <c r="C6" s="4"/>
      <c r="G6" s="4" t="s">
        <v>20</v>
      </c>
    </row>
    <row r="7" spans="1:7" x14ac:dyDescent="0.25">
      <c r="A7" s="6" t="s">
        <v>60</v>
      </c>
      <c r="B7" s="4" t="s">
        <v>16</v>
      </c>
      <c r="C7" s="4"/>
      <c r="G7" s="4" t="s">
        <v>11</v>
      </c>
    </row>
    <row r="8" spans="1:7" x14ac:dyDescent="0.25">
      <c r="A8" s="4" t="s">
        <v>61</v>
      </c>
      <c r="B8" s="4" t="s">
        <v>11</v>
      </c>
      <c r="C8" s="4"/>
      <c r="G8" s="4" t="s">
        <v>12</v>
      </c>
    </row>
    <row r="9" spans="1:7" x14ac:dyDescent="0.25">
      <c r="A9" s="6" t="s">
        <v>62</v>
      </c>
      <c r="B9" s="4" t="s">
        <v>11</v>
      </c>
      <c r="C9" s="4"/>
      <c r="G9" s="4" t="s">
        <v>13</v>
      </c>
    </row>
    <row r="10" spans="1:7" x14ac:dyDescent="0.25">
      <c r="A10" s="4" t="s">
        <v>63</v>
      </c>
      <c r="B10" s="4" t="s">
        <v>24</v>
      </c>
      <c r="C10" s="4"/>
      <c r="G10" s="4" t="s">
        <v>14</v>
      </c>
    </row>
    <row r="11" spans="1:7" x14ac:dyDescent="0.25">
      <c r="A11" s="6" t="s">
        <v>64</v>
      </c>
      <c r="B11" s="4" t="s">
        <v>13</v>
      </c>
      <c r="C11" s="4"/>
      <c r="G11" s="4" t="s">
        <v>17</v>
      </c>
    </row>
    <row r="12" spans="1:7" x14ac:dyDescent="0.25">
      <c r="A12" s="4" t="s">
        <v>65</v>
      </c>
      <c r="B12" s="4" t="s">
        <v>12</v>
      </c>
      <c r="C12" s="4"/>
      <c r="G12" s="4" t="s">
        <v>18</v>
      </c>
    </row>
    <row r="13" spans="1:7" x14ac:dyDescent="0.25">
      <c r="A13" s="6" t="s">
        <v>66</v>
      </c>
      <c r="B13" s="4" t="s">
        <v>29</v>
      </c>
      <c r="C13" s="4" t="s">
        <v>23</v>
      </c>
    </row>
    <row r="14" spans="1:7" x14ac:dyDescent="0.25">
      <c r="A14" s="4" t="s">
        <v>67</v>
      </c>
      <c r="B14" s="4" t="s">
        <v>11</v>
      </c>
      <c r="C14" s="4" t="s">
        <v>23</v>
      </c>
    </row>
    <row r="15" spans="1:7" x14ac:dyDescent="0.25">
      <c r="A15" s="6" t="s">
        <v>68</v>
      </c>
      <c r="B15" s="4" t="s">
        <v>11</v>
      </c>
      <c r="C15" s="4" t="s">
        <v>28</v>
      </c>
      <c r="G15">
        <f>COUNTA(A3:A50)</f>
        <v>16</v>
      </c>
    </row>
    <row r="16" spans="1:7" x14ac:dyDescent="0.25">
      <c r="A16" s="4" t="s">
        <v>69</v>
      </c>
      <c r="B16" s="4" t="s">
        <v>11</v>
      </c>
      <c r="C16" s="4" t="s">
        <v>23</v>
      </c>
    </row>
    <row r="17" spans="1:3" x14ac:dyDescent="0.25">
      <c r="A17" s="6" t="s">
        <v>70</v>
      </c>
      <c r="B17" s="4" t="s">
        <v>13</v>
      </c>
      <c r="C17" s="11"/>
    </row>
    <row r="18" spans="1:3" x14ac:dyDescent="0.25">
      <c r="A18" s="4" t="s">
        <v>71</v>
      </c>
      <c r="B18" s="4" t="s">
        <v>13</v>
      </c>
      <c r="C18" s="4"/>
    </row>
    <row r="19" spans="1:3" x14ac:dyDescent="0.25">
      <c r="A19" s="11"/>
      <c r="B19" s="6"/>
      <c r="C19" s="11"/>
    </row>
    <row r="20" spans="1:3" x14ac:dyDescent="0.25">
      <c r="A20" s="11"/>
      <c r="B20" s="4"/>
      <c r="C20" s="11"/>
    </row>
    <row r="21" spans="1:3" x14ac:dyDescent="0.25">
      <c r="A21" s="11"/>
      <c r="B21" s="4"/>
      <c r="C21" s="11"/>
    </row>
  </sheetData>
  <sortState xmlns:xlrd2="http://schemas.microsoft.com/office/spreadsheetml/2017/richdata2" ref="A3:C14">
    <sortCondition ref="A3:A14"/>
  </sortState>
  <mergeCells count="1">
    <mergeCell ref="A1:C1"/>
  </mergeCells>
  <phoneticPr fontId="4" type="noConversion"/>
  <pageMargins left="0.25" right="0.25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6</vt:i4>
      </vt:variant>
    </vt:vector>
  </HeadingPairs>
  <TitlesOfParts>
    <vt:vector size="13" baseType="lpstr">
      <vt:lpstr>Podsumowanie</vt:lpstr>
      <vt:lpstr>Etap 1</vt:lpstr>
      <vt:lpstr>Etap 2</vt:lpstr>
      <vt:lpstr>Etap 3</vt:lpstr>
      <vt:lpstr>Etap 4</vt:lpstr>
      <vt:lpstr>Etap 5</vt:lpstr>
      <vt:lpstr>Etap 6</vt:lpstr>
      <vt:lpstr>'Etap 1'!Obszar_wydruku</vt:lpstr>
      <vt:lpstr>'Etap 2'!Obszar_wydruku</vt:lpstr>
      <vt:lpstr>'Etap 3'!Obszar_wydruku</vt:lpstr>
      <vt:lpstr>'Etap 4'!Obszar_wydruku</vt:lpstr>
      <vt:lpstr>'Etap 5'!Obszar_wydruku</vt:lpstr>
      <vt:lpstr>'Etap 6'!Obszar_wydruku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Klaudia Malewska</dc:creator>
  <cp:lastModifiedBy>Bartosz Grzybowski</cp:lastModifiedBy>
  <cp:lastPrinted>2026-06-03T11:38:10Z</cp:lastPrinted>
  <dcterms:created xsi:type="dcterms:W3CDTF">2015-06-05T18:19:34Z</dcterms:created>
  <dcterms:modified xsi:type="dcterms:W3CDTF">2026-07-02T10:21:13Z</dcterms:modified>
</cp:coreProperties>
</file>